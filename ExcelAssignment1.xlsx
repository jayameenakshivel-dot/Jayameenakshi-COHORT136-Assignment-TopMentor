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TopMentor\Assignment\"/>
    </mc:Choice>
  </mc:AlternateContent>
  <xr:revisionPtr revIDLastSave="0" documentId="13_ncr:1_{05B1986D-3439-4185-A4F2-03E93FC57994}" xr6:coauthVersionLast="47" xr6:coauthVersionMax="47" xr10:uidLastSave="{00000000-0000-0000-0000-000000000000}"/>
  <bookViews>
    <workbookView xWindow="-108" yWindow="-108" windowWidth="23256" windowHeight="12456" xr2:uid="{C3BDD65C-0A04-42ED-BCD8-08CDBC28A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L12" i="1"/>
  <c r="C2" i="1" a="1"/>
  <c r="C2" i="1" s="1"/>
  <c r="F22" i="1"/>
  <c r="D22" i="1"/>
  <c r="C22" i="1" a="1"/>
  <c r="C22" i="1" s="1"/>
  <c r="B22" i="1"/>
  <c r="B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<sst xmlns="http://schemas.openxmlformats.org/spreadsheetml/2006/main" count="73" uniqueCount="26">
  <si>
    <t>Name</t>
  </si>
  <si>
    <t>Income</t>
  </si>
  <si>
    <t>Expense Amount</t>
  </si>
  <si>
    <t>Expense mode</t>
  </si>
  <si>
    <t>Expense Name</t>
  </si>
  <si>
    <t>Ramu</t>
  </si>
  <si>
    <t>Janu</t>
  </si>
  <si>
    <t>Anand</t>
  </si>
  <si>
    <t>Anitha</t>
  </si>
  <si>
    <t>Prem</t>
  </si>
  <si>
    <t>Sheetal</t>
  </si>
  <si>
    <t>DOB</t>
  </si>
  <si>
    <t>Age</t>
  </si>
  <si>
    <t>Rent</t>
  </si>
  <si>
    <t>Medical</t>
  </si>
  <si>
    <t>Entertainment</t>
  </si>
  <si>
    <t>EMI</t>
  </si>
  <si>
    <t>Grocery</t>
  </si>
  <si>
    <t>EB</t>
  </si>
  <si>
    <t>Insurance</t>
  </si>
  <si>
    <t>Cash</t>
  </si>
  <si>
    <t>Gpay</t>
  </si>
  <si>
    <t>Prani</t>
  </si>
  <si>
    <t>Age column is not working, please help me on that.</t>
  </si>
  <si>
    <t>Cash Payments</t>
  </si>
  <si>
    <t>Gpay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</si>
</sst>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-F800]dddd\,\ mmmm\ dd\,\ yyyy"/>
    <numFmt numFmtId="166" formatCode="&quot;₹&quot;\ #,##0"/>
    <numFmt numFmtId="167" formatCode="&quot;₹&quot;\ #,##0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166" fontId="2" fillId="0" borderId="0" xfId="0" applyNumberFormat="1" applyFont="1"/>
    <xf numFmtId="167" fontId="1" fillId="2" borderId="0" xfId="0" applyNumberFormat="1" applyFont="1" applyFill="1"/>
    <xf numFmtId="167" fontId="2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D941-5FD1-4B93-83B9-CCD87C51F3FD}">
  <dimension ref="A1:L22"/>
  <sheetViews>
    <sheetView tabSelected="1" topLeftCell="A4" workbookViewId="0">
      <selection activeCell="K15" sqref="K15"/>
    </sheetView>
  </sheetViews>
  <sheetFormatPr defaultRowHeight="15.6" x14ac:dyDescent="0.3"/>
  <cols>
    <col min="1" max="1" width="8.88671875" style="2"/>
    <col min="2" max="2" width="19.109375" style="2" bestFit="1" customWidth="1"/>
    <col min="3" max="3" width="11.21875" style="2" bestFit="1" customWidth="1"/>
    <col min="4" max="4" width="8.88671875" style="2"/>
    <col min="5" max="5" width="14.77734375" style="2" bestFit="1" customWidth="1"/>
    <col min="6" max="6" width="16.88671875" style="9" bestFit="1" customWidth="1"/>
    <col min="7" max="7" width="14.6640625" style="2" customWidth="1"/>
    <col min="8" max="9" width="8.88671875" style="2"/>
    <col min="10" max="10" width="10.33203125" style="11" customWidth="1"/>
    <col min="11" max="11" width="15" style="2" bestFit="1" customWidth="1"/>
    <col min="12" max="12" width="11.21875" style="2" bestFit="1" customWidth="1"/>
    <col min="13" max="16384" width="8.88671875" style="2"/>
  </cols>
  <sheetData>
    <row r="1" spans="1:12" s="1" customFormat="1" x14ac:dyDescent="0.3">
      <c r="A1" s="3" t="s">
        <v>0</v>
      </c>
      <c r="B1" s="3" t="s">
        <v>11</v>
      </c>
      <c r="C1" s="3" t="s">
        <v>12</v>
      </c>
      <c r="D1" s="3" t="s">
        <v>1</v>
      </c>
      <c r="E1" s="3" t="s">
        <v>4</v>
      </c>
      <c r="F1" s="8" t="s">
        <v>2</v>
      </c>
      <c r="G1" s="3" t="s">
        <v>3</v>
      </c>
      <c r="J1" s="10"/>
    </row>
    <row r="2" spans="1:12" x14ac:dyDescent="0.3">
      <c r="A2" s="2" t="s">
        <v>5</v>
      </c>
      <c r="B2" s="5">
        <f ca="1">RANDBETWEEN(DATE(1985,1,1),DATE(2000,9,25))</f>
        <v>32919</v>
      </c>
      <c r="C2" s="6" t="e" cm="1">
        <f t="array" aca="1" ref="C2" ca="1">DATEIF(TODAY(),B2,"Y")</f>
        <v>#NAME?</v>
      </c>
      <c r="D2" s="7">
        <f ca="1">RANDBETWEEN(25000,100000)</f>
        <v>87493</v>
      </c>
      <c r="E2" s="2" t="s">
        <v>13</v>
      </c>
      <c r="F2" s="7">
        <f ca="1">RANDBETWEEN(6500,10000)</f>
        <v>9878</v>
      </c>
      <c r="G2" s="2" t="s">
        <v>20</v>
      </c>
    </row>
    <row r="3" spans="1:12" x14ac:dyDescent="0.3">
      <c r="A3" s="2" t="s">
        <v>6</v>
      </c>
      <c r="B3" s="5">
        <f t="shared" ref="B3:B22" ca="1" si="0">RANDBETWEEN(DATE(1985,1,1),DATE(2000,1,1))</f>
        <v>34936</v>
      </c>
      <c r="C3" s="6" t="e" cm="1">
        <f t="array" aca="1" ref="C3" ca="1">DATEIF(TODAY(),B3,"Y")</f>
        <v>#NAME?</v>
      </c>
      <c r="D3" s="7">
        <f t="shared" ref="D3:D22" ca="1" si="1">RANDBETWEEN(25000,100000)</f>
        <v>49792</v>
      </c>
      <c r="E3" s="2" t="s">
        <v>14</v>
      </c>
      <c r="F3" s="7">
        <f t="shared" ref="F3:F22" ca="1" si="2">RANDBETWEEN(6500,10000)</f>
        <v>9815</v>
      </c>
      <c r="G3" s="2" t="s">
        <v>21</v>
      </c>
    </row>
    <row r="4" spans="1:12" x14ac:dyDescent="0.3">
      <c r="A4" s="2" t="s">
        <v>7</v>
      </c>
      <c r="B4" s="5">
        <f t="shared" ca="1" si="0"/>
        <v>32481</v>
      </c>
      <c r="C4" s="6" t="e" cm="1">
        <f t="array" aca="1" ref="C4" ca="1">DATEIF(TODAY(),B4,"Y")</f>
        <v>#NAME?</v>
      </c>
      <c r="D4" s="7">
        <f t="shared" ca="1" si="1"/>
        <v>54616</v>
      </c>
      <c r="E4" s="2" t="s">
        <v>15</v>
      </c>
      <c r="F4" s="7">
        <f t="shared" ca="1" si="2"/>
        <v>6821</v>
      </c>
      <c r="G4" s="2" t="s">
        <v>21</v>
      </c>
    </row>
    <row r="5" spans="1:12" x14ac:dyDescent="0.3">
      <c r="A5" s="2" t="s">
        <v>8</v>
      </c>
      <c r="B5" s="5">
        <f t="shared" ca="1" si="0"/>
        <v>35827</v>
      </c>
      <c r="C5" s="6" t="e" cm="1">
        <f t="array" aca="1" ref="C5" ca="1">DATEIF(TODAY(),B5,"Y")</f>
        <v>#NAME?</v>
      </c>
      <c r="D5" s="7">
        <f t="shared" ca="1" si="1"/>
        <v>43947</v>
      </c>
      <c r="E5" s="2" t="s">
        <v>16</v>
      </c>
      <c r="F5" s="7">
        <f t="shared" ca="1" si="2"/>
        <v>9808</v>
      </c>
      <c r="G5" s="2" t="s">
        <v>21</v>
      </c>
    </row>
    <row r="6" spans="1:12" x14ac:dyDescent="0.3">
      <c r="A6" s="2" t="s">
        <v>9</v>
      </c>
      <c r="B6" s="5">
        <f t="shared" ca="1" si="0"/>
        <v>32368</v>
      </c>
      <c r="C6" s="6" t="e" cm="1">
        <f t="array" aca="1" ref="C6" ca="1">DATEIF(TODAY(),B6,"Y")</f>
        <v>#NAME?</v>
      </c>
      <c r="D6" s="7">
        <f t="shared" ca="1" si="1"/>
        <v>63912</v>
      </c>
      <c r="E6" s="2" t="s">
        <v>17</v>
      </c>
      <c r="F6" s="7">
        <f t="shared" ca="1" si="2"/>
        <v>7360</v>
      </c>
      <c r="G6" s="2" t="s">
        <v>20</v>
      </c>
    </row>
    <row r="7" spans="1:12" x14ac:dyDescent="0.3">
      <c r="A7" s="2" t="s">
        <v>10</v>
      </c>
      <c r="B7" s="5">
        <f t="shared" ca="1" si="0"/>
        <v>33386</v>
      </c>
      <c r="C7" s="6" t="e" cm="1">
        <f t="array" aca="1" ref="C7" ca="1">DATEIF(TODAY(),B7,"Y")</f>
        <v>#NAME?</v>
      </c>
      <c r="D7" s="7">
        <f t="shared" ca="1" si="1"/>
        <v>67602</v>
      </c>
      <c r="E7" s="2" t="s">
        <v>18</v>
      </c>
      <c r="F7" s="7">
        <f t="shared" ca="1" si="2"/>
        <v>7194</v>
      </c>
      <c r="G7" s="2" t="s">
        <v>20</v>
      </c>
    </row>
    <row r="8" spans="1:12" ht="109.2" x14ac:dyDescent="0.3">
      <c r="A8" s="2" t="s">
        <v>5</v>
      </c>
      <c r="B8" s="5">
        <f t="shared" ca="1" si="0"/>
        <v>33960</v>
      </c>
      <c r="C8" s="6" t="e" cm="1">
        <f t="array" aca="1" ref="C8" ca="1">DATEIF(TODAY(),B8,"Y")</f>
        <v>#NAME?</v>
      </c>
      <c r="D8" s="7">
        <f t="shared" ca="1" si="1"/>
        <v>49817</v>
      </c>
      <c r="E8" s="2" t="s">
        <v>19</v>
      </c>
      <c r="F8" s="7">
        <f t="shared" ca="1" si="2"/>
        <v>6926</v>
      </c>
      <c r="G8" s="2" t="s">
        <v>21</v>
      </c>
      <c r="J8" s="12" t="s">
        <v>23</v>
      </c>
    </row>
    <row r="9" spans="1:12" x14ac:dyDescent="0.3">
      <c r="A9" s="2" t="s">
        <v>6</v>
      </c>
      <c r="B9" s="5">
        <f t="shared" ca="1" si="0"/>
        <v>33826</v>
      </c>
      <c r="C9" s="6" t="e" cm="1">
        <f t="array" aca="1" ref="C9" ca="1">DATEIF(TODAY(),B9,"Y")</f>
        <v>#NAME?</v>
      </c>
      <c r="D9" s="7">
        <f t="shared" ca="1" si="1"/>
        <v>84618</v>
      </c>
      <c r="E9" s="2" t="s">
        <v>13</v>
      </c>
      <c r="F9" s="7">
        <f t="shared" ca="1" si="2"/>
        <v>9670</v>
      </c>
      <c r="G9" s="2" t="s">
        <v>21</v>
      </c>
    </row>
    <row r="10" spans="1:12" x14ac:dyDescent="0.3">
      <c r="A10" s="2" t="s">
        <v>7</v>
      </c>
      <c r="B10" s="5">
        <f t="shared" ca="1" si="0"/>
        <v>31115</v>
      </c>
      <c r="C10" s="6" t="e" cm="1">
        <f t="array" aca="1" ref="C10" ca="1">DATEIF(TODAY(),B10,"Y")</f>
        <v>#NAME?</v>
      </c>
      <c r="D10" s="7">
        <f t="shared" ca="1" si="1"/>
        <v>66363</v>
      </c>
      <c r="E10" s="2" t="s">
        <v>14</v>
      </c>
      <c r="F10" s="7">
        <f t="shared" ca="1" si="2"/>
        <v>9092</v>
      </c>
      <c r="G10" s="2" t="s">
        <v>21</v>
      </c>
    </row>
    <row r="11" spans="1:12" x14ac:dyDescent="0.3">
      <c r="A11" s="2" t="s">
        <v>8</v>
      </c>
      <c r="B11" s="5">
        <f t="shared" ca="1" si="0"/>
        <v>33904</v>
      </c>
      <c r="C11" s="6" t="e" cm="1">
        <f t="array" aca="1" ref="C11" ca="1">DATEIF(TODAY(),B11,"Y")</f>
        <v>#NAME?</v>
      </c>
      <c r="D11" s="7">
        <f t="shared" ca="1" si="1"/>
        <v>96306</v>
      </c>
      <c r="E11" s="2" t="s">
        <v>15</v>
      </c>
      <c r="F11" s="7">
        <f t="shared" ca="1" si="2"/>
        <v>7397</v>
      </c>
      <c r="G11" s="2" t="s">
        <v>20</v>
      </c>
      <c r="K11" s="4"/>
    </row>
    <row r="12" spans="1:12" x14ac:dyDescent="0.3">
      <c r="A12" s="2" t="s">
        <v>9</v>
      </c>
      <c r="B12" s="5">
        <f t="shared" ca="1" si="0"/>
        <v>35829</v>
      </c>
      <c r="C12" s="6" t="e" cm="1">
        <f t="array" aca="1" ref="C12" ca="1">DATEIF(TODAY(),B12,"Y")</f>
        <v>#NAME?</v>
      </c>
      <c r="D12" s="7">
        <f t="shared" ca="1" si="1"/>
        <v>64505</v>
      </c>
      <c r="E12" s="2" t="s">
        <v>16</v>
      </c>
      <c r="F12" s="7">
        <f t="shared" ca="1" si="2"/>
        <v>8011</v>
      </c>
      <c r="G12" s="2" t="s">
        <v>20</v>
      </c>
      <c r="K12" s="14" t="s">
        <v>24</v>
      </c>
      <c r="L12" s="13">
        <f>COUNTIF(G2:G22,"Cash")</f>
        <v>9</v>
      </c>
    </row>
    <row r="13" spans="1:12" x14ac:dyDescent="0.3">
      <c r="A13" s="2" t="s">
        <v>10</v>
      </c>
      <c r="B13" s="5">
        <f t="shared" ca="1" si="0"/>
        <v>34623</v>
      </c>
      <c r="C13" s="6" t="e" cm="1">
        <f t="array" aca="1" ref="C13" ca="1">DATEIF(TODAY(),B13,"Y")</f>
        <v>#NAME?</v>
      </c>
      <c r="D13" s="7">
        <f t="shared" ca="1" si="1"/>
        <v>62427</v>
      </c>
      <c r="E13" s="2" t="s">
        <v>17</v>
      </c>
      <c r="F13" s="7">
        <f t="shared" ca="1" si="2"/>
        <v>9661</v>
      </c>
      <c r="G13" s="2" t="s">
        <v>21</v>
      </c>
      <c r="K13" s="14" t="s">
        <v>25</v>
      </c>
      <c r="L13" s="13">
        <f>COUNTIF(G2:G22,"Gpay")</f>
        <v>12</v>
      </c>
    </row>
    <row r="14" spans="1:12" x14ac:dyDescent="0.3">
      <c r="A14" s="2" t="s">
        <v>5</v>
      </c>
      <c r="B14" s="5">
        <f t="shared" ca="1" si="0"/>
        <v>33629</v>
      </c>
      <c r="C14" s="6" t="e" cm="1">
        <f t="array" aca="1" ref="C14" ca="1">DATEIF(TODAY(),B14,"Y")</f>
        <v>#NAME?</v>
      </c>
      <c r="D14" s="7">
        <f t="shared" ca="1" si="1"/>
        <v>42383</v>
      </c>
      <c r="E14" s="2" t="s">
        <v>18</v>
      </c>
      <c r="F14" s="7">
        <f t="shared" ca="1" si="2"/>
        <v>7423</v>
      </c>
      <c r="G14" s="2" t="s">
        <v>21</v>
      </c>
    </row>
    <row r="15" spans="1:12" x14ac:dyDescent="0.3">
      <c r="A15" s="2" t="s">
        <v>6</v>
      </c>
      <c r="B15" s="5">
        <f t="shared" ca="1" si="0"/>
        <v>33028</v>
      </c>
      <c r="C15" s="6" t="e" cm="1">
        <f t="array" aca="1" ref="C15" ca="1">DATEIF(TODAY(),B15,"Y")</f>
        <v>#NAME?</v>
      </c>
      <c r="D15" s="7">
        <f t="shared" ca="1" si="1"/>
        <v>75584</v>
      </c>
      <c r="E15" s="2" t="s">
        <v>19</v>
      </c>
      <c r="F15" s="7">
        <f t="shared" ca="1" si="2"/>
        <v>8658</v>
      </c>
      <c r="G15" s="2" t="s">
        <v>21</v>
      </c>
    </row>
    <row r="16" spans="1:12" x14ac:dyDescent="0.3">
      <c r="A16" s="2" t="s">
        <v>7</v>
      </c>
      <c r="B16" s="5">
        <f t="shared" ca="1" si="0"/>
        <v>34333</v>
      </c>
      <c r="C16" s="6" t="e" cm="1">
        <f t="array" aca="1" ref="C16" ca="1">DATEIF(TODAY(),B16,"Y")</f>
        <v>#NAME?</v>
      </c>
      <c r="D16" s="7">
        <f t="shared" ca="1" si="1"/>
        <v>82270</v>
      </c>
      <c r="E16" s="2" t="s">
        <v>13</v>
      </c>
      <c r="F16" s="7">
        <f t="shared" ca="1" si="2"/>
        <v>8560</v>
      </c>
      <c r="G16" s="2" t="s">
        <v>20</v>
      </c>
    </row>
    <row r="17" spans="1:7" x14ac:dyDescent="0.3">
      <c r="A17" s="2" t="s">
        <v>8</v>
      </c>
      <c r="B17" s="5">
        <f t="shared" ca="1" si="0"/>
        <v>36252</v>
      </c>
      <c r="C17" s="6" t="e" cm="1">
        <f t="array" aca="1" ref="C17" ca="1">DATEIF(TODAY(),B17,"Y")</f>
        <v>#NAME?</v>
      </c>
      <c r="D17" s="7">
        <f t="shared" ca="1" si="1"/>
        <v>90579</v>
      </c>
      <c r="E17" s="2" t="s">
        <v>14</v>
      </c>
      <c r="F17" s="7">
        <f t="shared" ca="1" si="2"/>
        <v>9702</v>
      </c>
      <c r="G17" s="2" t="s">
        <v>20</v>
      </c>
    </row>
    <row r="18" spans="1:7" x14ac:dyDescent="0.3">
      <c r="A18" s="2" t="s">
        <v>9</v>
      </c>
      <c r="B18" s="5">
        <f t="shared" ca="1" si="0"/>
        <v>35429</v>
      </c>
      <c r="C18" s="6" t="e" cm="1">
        <f t="array" aca="1" ref="C18" ca="1">DATEIF(TODAY(),B18,"Y")</f>
        <v>#NAME?</v>
      </c>
      <c r="D18" s="7">
        <f t="shared" ca="1" si="1"/>
        <v>99604</v>
      </c>
      <c r="E18" s="2" t="s">
        <v>15</v>
      </c>
      <c r="F18" s="7">
        <f t="shared" ca="1" si="2"/>
        <v>7545</v>
      </c>
      <c r="G18" s="2" t="s">
        <v>21</v>
      </c>
    </row>
    <row r="19" spans="1:7" x14ac:dyDescent="0.3">
      <c r="A19" s="2" t="s">
        <v>10</v>
      </c>
      <c r="B19" s="5">
        <f t="shared" ca="1" si="0"/>
        <v>32507</v>
      </c>
      <c r="C19" s="6" t="e" cm="1">
        <f t="array" aca="1" ref="C19" ca="1">DATEIF(TODAY(),B19,"Y")</f>
        <v>#NAME?</v>
      </c>
      <c r="D19" s="7">
        <f t="shared" ca="1" si="1"/>
        <v>83613</v>
      </c>
      <c r="E19" s="2" t="s">
        <v>16</v>
      </c>
      <c r="F19" s="7">
        <f t="shared" ca="1" si="2"/>
        <v>9422</v>
      </c>
      <c r="G19" s="2" t="s">
        <v>21</v>
      </c>
    </row>
    <row r="20" spans="1:7" x14ac:dyDescent="0.3">
      <c r="A20" s="2" t="s">
        <v>5</v>
      </c>
      <c r="B20" s="5">
        <f t="shared" ca="1" si="0"/>
        <v>32004</v>
      </c>
      <c r="C20" s="6" t="e" cm="1">
        <f t="array" aca="1" ref="C20" ca="1">DATEIF(TODAY(),B20,"Y")</f>
        <v>#NAME?</v>
      </c>
      <c r="D20" s="7">
        <f t="shared" ca="1" si="1"/>
        <v>50847</v>
      </c>
      <c r="E20" s="2" t="s">
        <v>17</v>
      </c>
      <c r="F20" s="7">
        <f t="shared" ca="1" si="2"/>
        <v>6935</v>
      </c>
      <c r="G20" s="2" t="s">
        <v>21</v>
      </c>
    </row>
    <row r="21" spans="1:7" x14ac:dyDescent="0.3">
      <c r="A21" s="2" t="s">
        <v>6</v>
      </c>
      <c r="B21" s="5">
        <f t="shared" ca="1" si="0"/>
        <v>31669</v>
      </c>
      <c r="C21" s="6" t="e" cm="1">
        <f t="array" aca="1" ref="C21" ca="1">DATEIF(TODAY(),B21,"Y")</f>
        <v>#NAME?</v>
      </c>
      <c r="D21" s="7">
        <f t="shared" ca="1" si="1"/>
        <v>34254</v>
      </c>
      <c r="E21" s="2" t="s">
        <v>18</v>
      </c>
      <c r="F21" s="7">
        <f t="shared" ca="1" si="2"/>
        <v>7531</v>
      </c>
      <c r="G21" s="2" t="s">
        <v>20</v>
      </c>
    </row>
    <row r="22" spans="1:7" x14ac:dyDescent="0.3">
      <c r="A22" s="2" t="s">
        <v>22</v>
      </c>
      <c r="B22" s="5">
        <f t="shared" ca="1" si="0"/>
        <v>31366</v>
      </c>
      <c r="C22" s="6" t="e" cm="1">
        <f t="array" aca="1" ref="C22" ca="1">DATEIF(TODAY(),B22,"Y")</f>
        <v>#NAME?</v>
      </c>
      <c r="D22" s="7">
        <f t="shared" ca="1" si="1"/>
        <v>45664</v>
      </c>
      <c r="E22" s="2" t="s">
        <v>19</v>
      </c>
      <c r="F22" s="7">
        <f t="shared" ca="1" si="2"/>
        <v>8737</v>
      </c>
      <c r="G22" s="2" t="s">
        <v>20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Jayameenakshi S</dc:creator>
  <cp:lastModifiedBy>Jayameenakshi S</cp:lastModifiedBy>
  <dcterms:created xsi:type="dcterms:W3CDTF">2025-11-22T11:38:02Z</dcterms:created>
  <dcterms:modified xsi:type="dcterms:W3CDTF">2025-11-22T13:36:53Z</dcterms:modified>
</cp:coreProperties>
</file>